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lucas/Desktop/"/>
    </mc:Choice>
  </mc:AlternateContent>
  <xr:revisionPtr revIDLastSave="0" documentId="8_{676F7201-CEE4-9E44-BE15-271D74AF87EB}" xr6:coauthVersionLast="47" xr6:coauthVersionMax="47" xr10:uidLastSave="{00000000-0000-0000-0000-000000000000}"/>
  <bookViews>
    <workbookView xWindow="1100" yWindow="900" windowWidth="28040" windowHeight="17180" xr2:uid="{2F54E0DD-2169-1342-BD0C-E753D16F39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6" i="1"/>
  <c r="E7" i="1" s="1"/>
  <c r="D6" i="1"/>
  <c r="D19" i="1"/>
  <c r="F12" i="1"/>
  <c r="G12" i="1" s="1"/>
  <c r="E13" i="1"/>
  <c r="E16" i="1" s="1"/>
  <c r="D13" i="1"/>
  <c r="D16" i="1" s="1"/>
  <c r="P10" i="1"/>
  <c r="E11" i="1"/>
  <c r="F11" i="1" s="1"/>
  <c r="F5" i="1"/>
  <c r="G5" i="1" s="1"/>
  <c r="H5" i="1" s="1"/>
  <c r="I5" i="1" s="1"/>
  <c r="J5" i="1" s="1"/>
  <c r="K5" i="1" s="1"/>
  <c r="L5" i="1" s="1"/>
  <c r="M5" i="1" s="1"/>
  <c r="N5" i="1" s="1"/>
  <c r="O5" i="1" s="1"/>
  <c r="O6" i="1" s="1"/>
  <c r="O19" i="1" s="1"/>
  <c r="D17" i="1" l="1"/>
  <c r="D21" i="1"/>
  <c r="G11" i="1"/>
  <c r="F13" i="1"/>
  <c r="F16" i="1"/>
  <c r="E17" i="1"/>
  <c r="E21" i="1"/>
  <c r="H12" i="1"/>
  <c r="I12" i="1" s="1"/>
  <c r="D23" i="1"/>
  <c r="D25" i="1" s="1"/>
  <c r="E19" i="1"/>
  <c r="I6" i="1"/>
  <c r="I19" i="1" s="1"/>
  <c r="L6" i="1"/>
  <c r="L19" i="1" s="1"/>
  <c r="F6" i="1"/>
  <c r="F19" i="1" s="1"/>
  <c r="N6" i="1"/>
  <c r="N19" i="1" s="1"/>
  <c r="K6" i="1"/>
  <c r="K19" i="1" s="1"/>
  <c r="J6" i="1"/>
  <c r="J19" i="1" s="1"/>
  <c r="H6" i="1"/>
  <c r="H19" i="1" s="1"/>
  <c r="G6" i="1"/>
  <c r="G19" i="1" s="1"/>
  <c r="M6" i="1"/>
  <c r="M19" i="1" s="1"/>
  <c r="P5" i="1"/>
  <c r="H11" i="1"/>
  <c r="H13" i="1" l="1"/>
  <c r="H16" i="1" s="1"/>
  <c r="H21" i="1" s="1"/>
  <c r="F17" i="1"/>
  <c r="F21" i="1"/>
  <c r="F23" i="1" s="1"/>
  <c r="F25" i="1" s="1"/>
  <c r="G23" i="1"/>
  <c r="G25" i="1" s="1"/>
  <c r="H25" i="1" s="1"/>
  <c r="E23" i="1"/>
  <c r="E25" i="1" s="1"/>
  <c r="G16" i="1"/>
  <c r="G21" i="1" s="1"/>
  <c r="G13" i="1"/>
  <c r="H23" i="1"/>
  <c r="F7" i="1"/>
  <c r="P7" i="1" s="1"/>
  <c r="G7" i="1"/>
  <c r="H7" i="1" s="1"/>
  <c r="I7" i="1" s="1"/>
  <c r="J7" i="1" s="1"/>
  <c r="K7" i="1" s="1"/>
  <c r="L7" i="1" s="1"/>
  <c r="M7" i="1" s="1"/>
  <c r="N7" i="1" s="1"/>
  <c r="O7" i="1" s="1"/>
  <c r="P6" i="1"/>
  <c r="P19" i="1"/>
  <c r="J12" i="1"/>
  <c r="I11" i="1"/>
  <c r="I13" i="1" s="1"/>
  <c r="G17" i="1" l="1"/>
  <c r="H17" i="1" s="1"/>
  <c r="K12" i="1"/>
  <c r="I16" i="1"/>
  <c r="I21" i="1" s="1"/>
  <c r="I23" i="1" s="1"/>
  <c r="I25" i="1" s="1"/>
  <c r="J11" i="1"/>
  <c r="J13" i="1" s="1"/>
  <c r="J16" i="1" s="1"/>
  <c r="J21" i="1" s="1"/>
  <c r="J23" i="1" s="1"/>
  <c r="J25" i="1" l="1"/>
  <c r="I17" i="1"/>
  <c r="J17" i="1" s="1"/>
  <c r="L12" i="1"/>
  <c r="K11" i="1"/>
  <c r="K13" i="1" s="1"/>
  <c r="K16" i="1" s="1"/>
  <c r="K21" i="1" s="1"/>
  <c r="K23" i="1" s="1"/>
  <c r="K17" i="1" l="1"/>
  <c r="K25" i="1"/>
  <c r="M12" i="1"/>
  <c r="L11" i="1"/>
  <c r="L13" i="1" s="1"/>
  <c r="N12" i="1" l="1"/>
  <c r="L16" i="1"/>
  <c r="L21" i="1" s="1"/>
  <c r="L23" i="1" s="1"/>
  <c r="L25" i="1" s="1"/>
  <c r="M11" i="1"/>
  <c r="M13" i="1" s="1"/>
  <c r="M16" i="1" s="1"/>
  <c r="M21" i="1" s="1"/>
  <c r="M23" i="1" s="1"/>
  <c r="M25" i="1" l="1"/>
  <c r="L17" i="1"/>
  <c r="M17" i="1" s="1"/>
  <c r="O12" i="1"/>
  <c r="P12" i="1" s="1"/>
  <c r="N11" i="1"/>
  <c r="N13" i="1" s="1"/>
  <c r="N16" i="1" l="1"/>
  <c r="N21" i="1" s="1"/>
  <c r="N23" i="1" s="1"/>
  <c r="N17" i="1"/>
  <c r="N25" i="1"/>
  <c r="O11" i="1"/>
  <c r="P11" i="1" s="1"/>
  <c r="O13" i="1" l="1"/>
  <c r="O16" i="1" l="1"/>
  <c r="P13" i="1"/>
  <c r="P16" i="1" s="1"/>
  <c r="P21" i="1" s="1"/>
  <c r="P23" i="1" s="1"/>
  <c r="O21" i="1" l="1"/>
  <c r="O23" i="1" s="1"/>
  <c r="O25" i="1" s="1"/>
  <c r="O17" i="1"/>
</calcChain>
</file>

<file path=xl/sharedStrings.xml><?xml version="1.0" encoding="utf-8"?>
<sst xmlns="http://schemas.openxmlformats.org/spreadsheetml/2006/main" count="32" uniqueCount="31">
  <si>
    <t>INGRESOS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</si>
  <si>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</si>
  <si>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</si>
  <si>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</si>
  <si>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</si>
  <si>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</si>
  <si>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</si>
  <si>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</si>
  <si>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</si>
  <si>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</si>
  <si>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</si>
  <si>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</si>
  <si>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</si>
  <si>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</t>
  </si>
  <si>
    <t>VENTAS</t>
  </si>
  <si>
    <t>ACUMULADO/PERIODO</t>
  </si>
  <si>
    <t>GASTOS</t>
  </si>
  <si>
    <t>SERVICIOS PROFESIONALES</t>
  </si>
  <si>
    <t>COSTOS DIRECTOS</t>
  </si>
  <si>
    <t>PUBLICIDAD</t>
  </si>
  <si>
    <t>IMPUESTOS Y TASAS</t>
  </si>
  <si>
    <t>VARIOS</t>
  </si>
  <si>
    <t>FACTURACIÓN</t>
  </si>
  <si>
    <t>COSTOS/GASTOS</t>
  </si>
  <si>
    <t>RESULTADO</t>
  </si>
  <si>
    <t>RESULT.ACUM</t>
  </si>
  <si>
    <t>PROYECCIÓN FINANCIERA DEL MES DE ENERO A DICIEMBRE 2026</t>
  </si>
  <si>
    <t>COSTOS Y GASTOS</t>
  </si>
  <si>
    <t>TOTAL GASTOS</t>
  </si>
  <si>
    <t>TOTAL INGRESOS</t>
  </si>
  <si>
    <t>TERRAL INVERSIONES GLOBALES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</si>
</sst>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 (Body)"/>
    </font>
    <font>
      <b/>
      <sz val="18"/>
      <color theme="1"/>
      <name val="Aptos Narrow (Body)"/>
    </font>
    <font>
      <b/>
      <sz val="12"/>
      <color theme="0"/>
      <name val="Times New Roman"/>
      <family val="1"/>
    </font>
    <font>
      <b/>
      <sz val="12"/>
      <color theme="1" tint="0.249977111117893"/>
      <name val="Aptos Narrow"/>
      <family val="2"/>
      <scheme val="minor"/>
    </font>
    <font>
      <b/>
      <sz val="12"/>
      <color theme="0"/>
      <name val="Aptos Narrow (Body)"/>
    </font>
    <font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Border="1"/>
    <xf numFmtId="0" fontId="0" fillId="0" borderId="1" xfId="0" applyBorder="1"/>
    <xf numFmtId="0" fontId="0" fillId="4" borderId="0" xfId="0" applyFill="1" applyBorder="1"/>
    <xf numFmtId="0" fontId="0" fillId="3" borderId="0" xfId="0" applyFill="1" applyBorder="1"/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4" borderId="5" xfId="1" applyFont="1" applyFill="1" applyBorder="1" applyAlignment="1">
      <alignment horizontal="center"/>
    </xf>
    <xf numFmtId="43" fontId="0" fillId="0" borderId="0" xfId="1" applyFont="1" applyBorder="1"/>
    <xf numFmtId="43" fontId="0" fillId="0" borderId="10" xfId="1" applyFont="1" applyBorder="1"/>
    <xf numFmtId="43" fontId="0" fillId="0" borderId="11" xfId="1" applyFont="1" applyBorder="1"/>
    <xf numFmtId="43" fontId="0" fillId="0" borderId="7" xfId="1" applyFont="1" applyBorder="1"/>
    <xf numFmtId="43" fontId="0" fillId="4" borderId="0" xfId="1" applyFont="1" applyFill="1" applyBorder="1" applyAlignment="1">
      <alignment horizontal="left" indent="6"/>
    </xf>
    <xf numFmtId="43" fontId="0" fillId="3" borderId="0" xfId="1" applyFont="1" applyFill="1" applyBorder="1" applyAlignment="1">
      <alignment horizontal="left" indent="6"/>
    </xf>
    <xf numFmtId="43" fontId="0" fillId="0" borderId="0" xfId="1" applyFont="1" applyBorder="1" applyAlignment="1">
      <alignment horizontal="left" indent="6"/>
    </xf>
    <xf numFmtId="43" fontId="0" fillId="0" borderId="9" xfId="1" applyFont="1" applyBorder="1" applyAlignment="1">
      <alignment horizontal="left" indent="6"/>
    </xf>
    <xf numFmtId="43" fontId="0" fillId="0" borderId="7" xfId="1" applyFont="1" applyBorder="1" applyAlignment="1">
      <alignment horizontal="left" indent="6"/>
    </xf>
    <xf numFmtId="43" fontId="0" fillId="0" borderId="4" xfId="1" applyFont="1" applyBorder="1"/>
    <xf numFmtId="43" fontId="0" fillId="0" borderId="8" xfId="1" applyFont="1" applyBorder="1"/>
    <xf numFmtId="43" fontId="0" fillId="0" borderId="8" xfId="1" applyFont="1" applyFill="1" applyBorder="1"/>
    <xf numFmtId="43" fontId="0" fillId="3" borderId="0" xfId="0" applyNumberFormat="1" applyFill="1" applyBorder="1" applyAlignment="1">
      <alignment horizontal="left" indent="6"/>
    </xf>
    <xf numFmtId="43" fontId="4" fillId="0" borderId="7" xfId="1" applyFont="1" applyBorder="1" applyAlignment="1">
      <alignment horizontal="left" indent="6"/>
    </xf>
    <xf numFmtId="43" fontId="4" fillId="0" borderId="9" xfId="1" applyFont="1" applyBorder="1" applyAlignment="1">
      <alignment horizontal="left" indent="6"/>
    </xf>
    <xf numFmtId="43" fontId="4" fillId="3" borderId="0" xfId="1" applyFont="1" applyFill="1" applyBorder="1" applyAlignment="1">
      <alignment horizontal="left" indent="6"/>
    </xf>
    <xf numFmtId="43" fontId="4" fillId="4" borderId="0" xfId="1" applyFont="1" applyFill="1" applyBorder="1" applyAlignment="1">
      <alignment horizontal="left" indent="6"/>
    </xf>
    <xf numFmtId="43" fontId="4" fillId="0" borderId="7" xfId="1" applyFont="1" applyBorder="1"/>
    <xf numFmtId="43" fontId="4" fillId="4" borderId="5" xfId="1" applyFont="1" applyFill="1" applyBorder="1" applyAlignment="1">
      <alignment horizontal="center"/>
    </xf>
    <xf numFmtId="43" fontId="4" fillId="0" borderId="7" xfId="1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1" fillId="3" borderId="4" xfId="0" applyFont="1" applyFill="1" applyBorder="1"/>
    <xf numFmtId="0" fontId="11" fillId="0" borderId="4" xfId="0" applyFont="1" applyBorder="1"/>
    <xf numFmtId="0" fontId="11" fillId="4" borderId="4" xfId="0" applyFont="1" applyFill="1" applyBorder="1"/>
    <xf numFmtId="0" fontId="11" fillId="3" borderId="6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99DD-2390-4F47-8A3E-2DA37FF153BA}">
  <dimension ref="B1:Q26"/>
  <sheetViews>
    <sheetView showGridLines="0" tabSelected="1" zoomScale="84" workbookViewId="0">
      <selection activeCell="H28" sqref="H28"/>
    </sheetView>
  </sheetViews>
  <sheetFormatPr baseColWidth="10" defaultRowHeight="16" x14ac:dyDescent="0.2"/>
  <cols>
    <col min="2" max="2" width="31.83203125" customWidth="1"/>
    <col min="3" max="3" width="10.83203125" hidden="1" customWidth="1"/>
    <col min="4" max="4" width="15.5" bestFit="1" customWidth="1"/>
    <col min="5" max="5" width="16.6640625" bestFit="1" customWidth="1"/>
    <col min="6" max="14" width="17.1640625" bestFit="1" customWidth="1"/>
    <col min="15" max="16" width="18.33203125" bestFit="1" customWidth="1"/>
  </cols>
  <sheetData>
    <row r="1" spans="2:17" ht="27" x14ac:dyDescent="0.35">
      <c r="B1" s="29" t="s">
        <v>30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2:17" ht="24" x14ac:dyDescent="0.3">
      <c r="B2" s="31" t="s">
        <v>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2:17" x14ac:dyDescent="0.2">
      <c r="B3" s="32" t="s">
        <v>0</v>
      </c>
      <c r="C3" s="33"/>
      <c r="D3" s="34" t="s">
        <v>1</v>
      </c>
      <c r="E3" s="34" t="s">
        <v>2</v>
      </c>
      <c r="F3" s="35" t="s">
        <v>3</v>
      </c>
      <c r="G3" s="35" t="s">
        <v>4</v>
      </c>
      <c r="H3" s="35" t="s">
        <v>5</v>
      </c>
      <c r="I3" s="35" t="s">
        <v>6</v>
      </c>
      <c r="J3" s="35" t="s">
        <v>7</v>
      </c>
      <c r="K3" s="35" t="s">
        <v>8</v>
      </c>
      <c r="L3" s="35" t="s">
        <v>9</v>
      </c>
      <c r="M3" s="35" t="s">
        <v>10</v>
      </c>
      <c r="N3" s="35" t="s">
        <v>11</v>
      </c>
      <c r="O3" s="35" t="s">
        <v>12</v>
      </c>
      <c r="P3" s="35" t="s">
        <v>13</v>
      </c>
    </row>
    <row r="4" spans="2:17" x14ac:dyDescent="0.2">
      <c r="B4" s="36"/>
      <c r="C4" s="37"/>
      <c r="D4" s="37"/>
      <c r="E4" s="3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2:17" ht="19" x14ac:dyDescent="0.25">
      <c r="B5" s="39" t="s">
        <v>14</v>
      </c>
      <c r="C5" s="1"/>
      <c r="D5" s="5">
        <v>6000</v>
      </c>
      <c r="E5" s="6">
        <v>7800</v>
      </c>
      <c r="F5" s="6">
        <f t="shared" ref="F5:O5" si="0">E5+500</f>
        <v>8300</v>
      </c>
      <c r="G5" s="6">
        <f t="shared" si="0"/>
        <v>8800</v>
      </c>
      <c r="H5" s="6">
        <f t="shared" si="0"/>
        <v>9300</v>
      </c>
      <c r="I5" s="6">
        <f t="shared" si="0"/>
        <v>9800</v>
      </c>
      <c r="J5" s="6">
        <f t="shared" si="0"/>
        <v>10300</v>
      </c>
      <c r="K5" s="6">
        <f t="shared" si="0"/>
        <v>10800</v>
      </c>
      <c r="L5" s="6">
        <f t="shared" si="0"/>
        <v>11300</v>
      </c>
      <c r="M5" s="6">
        <f t="shared" si="0"/>
        <v>11800</v>
      </c>
      <c r="N5" s="6">
        <f t="shared" si="0"/>
        <v>12300</v>
      </c>
      <c r="O5" s="6">
        <f t="shared" si="0"/>
        <v>12800</v>
      </c>
      <c r="P5" s="27">
        <f>SUM(D5:O5)</f>
        <v>119300</v>
      </c>
    </row>
    <row r="6" spans="2:17" ht="19" x14ac:dyDescent="0.25">
      <c r="B6" s="39" t="s">
        <v>29</v>
      </c>
      <c r="C6" s="1"/>
      <c r="D6" s="5">
        <f>D5</f>
        <v>6000</v>
      </c>
      <c r="E6" s="5">
        <f t="shared" ref="E6:O6" si="1">E5</f>
        <v>7800</v>
      </c>
      <c r="F6" s="5">
        <f t="shared" si="1"/>
        <v>8300</v>
      </c>
      <c r="G6" s="5">
        <f t="shared" si="1"/>
        <v>8800</v>
      </c>
      <c r="H6" s="5">
        <f t="shared" si="1"/>
        <v>9300</v>
      </c>
      <c r="I6" s="5">
        <f t="shared" si="1"/>
        <v>9800</v>
      </c>
      <c r="J6" s="5">
        <f t="shared" si="1"/>
        <v>10300</v>
      </c>
      <c r="K6" s="5">
        <f t="shared" si="1"/>
        <v>10800</v>
      </c>
      <c r="L6" s="5">
        <f t="shared" si="1"/>
        <v>11300</v>
      </c>
      <c r="M6" s="5">
        <f t="shared" si="1"/>
        <v>11800</v>
      </c>
      <c r="N6" s="5">
        <f t="shared" si="1"/>
        <v>12300</v>
      </c>
      <c r="O6" s="5">
        <f t="shared" si="1"/>
        <v>12800</v>
      </c>
      <c r="P6" s="27">
        <f t="shared" ref="P6:P7" si="2">SUM(D6:O6)</f>
        <v>119300</v>
      </c>
    </row>
    <row r="7" spans="2:17" ht="19" x14ac:dyDescent="0.25">
      <c r="B7" s="39" t="s">
        <v>15</v>
      </c>
      <c r="C7" s="1"/>
      <c r="D7" s="7">
        <f>D5</f>
        <v>6000</v>
      </c>
      <c r="E7" s="7">
        <f>E6+D7</f>
        <v>13800</v>
      </c>
      <c r="F7" s="7">
        <f>F6+E7</f>
        <v>22100</v>
      </c>
      <c r="G7" s="7">
        <f>G6+F7</f>
        <v>30900</v>
      </c>
      <c r="H7" s="7">
        <f>H6+G7</f>
        <v>40200</v>
      </c>
      <c r="I7" s="7">
        <f>I6+H7</f>
        <v>50000</v>
      </c>
      <c r="J7" s="7">
        <f>J6+I7</f>
        <v>60300</v>
      </c>
      <c r="K7" s="7">
        <f>K6+J7</f>
        <v>71100</v>
      </c>
      <c r="L7" s="7">
        <f>L6+K7</f>
        <v>82400</v>
      </c>
      <c r="M7" s="7">
        <f>M6+L7</f>
        <v>94200</v>
      </c>
      <c r="N7" s="7">
        <f>N6+M7</f>
        <v>106500</v>
      </c>
      <c r="O7" s="7">
        <f>O6+N7</f>
        <v>119300</v>
      </c>
      <c r="P7" s="26">
        <f t="shared" si="2"/>
        <v>696800</v>
      </c>
    </row>
    <row r="8" spans="2:17" ht="19" x14ac:dyDescent="0.25">
      <c r="B8" s="40"/>
      <c r="C8" s="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2:17" ht="19" x14ac:dyDescent="0.25">
      <c r="B9" s="39" t="s">
        <v>16</v>
      </c>
      <c r="C9" s="1"/>
      <c r="D9" s="9" t="s">
        <v>27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2:17" ht="19" x14ac:dyDescent="0.25">
      <c r="B10" s="39" t="s">
        <v>17</v>
      </c>
      <c r="C10" s="1"/>
      <c r="D10" s="11">
        <v>300</v>
      </c>
      <c r="E10" s="11">
        <v>300</v>
      </c>
      <c r="F10" s="11">
        <v>300</v>
      </c>
      <c r="G10" s="11">
        <v>300</v>
      </c>
      <c r="H10" s="11">
        <v>300</v>
      </c>
      <c r="I10" s="11">
        <v>300</v>
      </c>
      <c r="J10" s="11">
        <v>300</v>
      </c>
      <c r="K10" s="11">
        <v>300</v>
      </c>
      <c r="L10" s="11">
        <v>300</v>
      </c>
      <c r="M10" s="11">
        <v>300</v>
      </c>
      <c r="N10" s="11">
        <v>300</v>
      </c>
      <c r="O10" s="11">
        <v>300</v>
      </c>
      <c r="P10" s="25">
        <f>SUM(D10:O10)</f>
        <v>3600</v>
      </c>
    </row>
    <row r="11" spans="2:17" ht="19" x14ac:dyDescent="0.25">
      <c r="B11" s="39" t="s">
        <v>18</v>
      </c>
      <c r="C11" s="1"/>
      <c r="D11" s="11">
        <v>120</v>
      </c>
      <c r="E11" s="11">
        <f>D11+(D11*0.1)</f>
        <v>132</v>
      </c>
      <c r="F11" s="11">
        <f t="shared" ref="F11:P11" si="3">E11+(E11*0.1)</f>
        <v>145.19999999999999</v>
      </c>
      <c r="G11" s="11">
        <f t="shared" si="3"/>
        <v>159.72</v>
      </c>
      <c r="H11" s="11">
        <f t="shared" si="3"/>
        <v>175.69200000000001</v>
      </c>
      <c r="I11" s="11">
        <f t="shared" si="3"/>
        <v>193.2612</v>
      </c>
      <c r="J11" s="11">
        <f t="shared" si="3"/>
        <v>212.58732000000001</v>
      </c>
      <c r="K11" s="11">
        <f t="shared" si="3"/>
        <v>233.84605200000001</v>
      </c>
      <c r="L11" s="11">
        <f t="shared" si="3"/>
        <v>257.2306572</v>
      </c>
      <c r="M11" s="11">
        <f t="shared" si="3"/>
        <v>282.95372292000002</v>
      </c>
      <c r="N11" s="11">
        <f t="shared" si="3"/>
        <v>311.24909521200004</v>
      </c>
      <c r="O11" s="11">
        <f t="shared" si="3"/>
        <v>342.37400473320002</v>
      </c>
      <c r="P11" s="25">
        <f>SUM(D11:O11)</f>
        <v>2566.1140520652002</v>
      </c>
    </row>
    <row r="12" spans="2:17" ht="19" x14ac:dyDescent="0.25">
      <c r="B12" s="39" t="s">
        <v>19</v>
      </c>
      <c r="C12" s="1"/>
      <c r="D12" s="11">
        <v>0</v>
      </c>
      <c r="E12" s="11">
        <v>500</v>
      </c>
      <c r="F12" s="11">
        <f>E12+(E12*0.05)</f>
        <v>525</v>
      </c>
      <c r="G12" s="11">
        <f t="shared" ref="G12:O12" si="4">F12+(F12*0.05)</f>
        <v>551.25</v>
      </c>
      <c r="H12" s="11">
        <f t="shared" si="4"/>
        <v>578.8125</v>
      </c>
      <c r="I12" s="11">
        <f t="shared" si="4"/>
        <v>607.75312499999995</v>
      </c>
      <c r="J12" s="11">
        <f t="shared" si="4"/>
        <v>638.14078124999992</v>
      </c>
      <c r="K12" s="11">
        <f t="shared" si="4"/>
        <v>670.04782031249988</v>
      </c>
      <c r="L12" s="11">
        <f t="shared" si="4"/>
        <v>703.55021132812487</v>
      </c>
      <c r="M12" s="11">
        <f t="shared" si="4"/>
        <v>738.7277218945311</v>
      </c>
      <c r="N12" s="11">
        <f t="shared" si="4"/>
        <v>775.66410798925767</v>
      </c>
      <c r="O12" s="11">
        <f t="shared" si="4"/>
        <v>814.44731338872054</v>
      </c>
      <c r="P12" s="25">
        <f>SUM(D12:O12)</f>
        <v>7103.3935811631345</v>
      </c>
    </row>
    <row r="13" spans="2:17" ht="19" x14ac:dyDescent="0.25">
      <c r="B13" s="39" t="s">
        <v>20</v>
      </c>
      <c r="C13" s="1"/>
      <c r="D13" s="11">
        <f>((D10+D11+D12)*0.07)</f>
        <v>29.400000000000002</v>
      </c>
      <c r="E13" s="11">
        <f t="shared" ref="E13:O13" si="5">((E10+E11+E12)*0.07)</f>
        <v>65.240000000000009</v>
      </c>
      <c r="F13" s="11">
        <f t="shared" si="5"/>
        <v>67.914000000000016</v>
      </c>
      <c r="G13" s="11">
        <f t="shared" si="5"/>
        <v>70.767900000000012</v>
      </c>
      <c r="H13" s="11">
        <f t="shared" si="5"/>
        <v>73.815315000000012</v>
      </c>
      <c r="I13" s="11">
        <f t="shared" si="5"/>
        <v>77.071002750000019</v>
      </c>
      <c r="J13" s="11">
        <f t="shared" si="5"/>
        <v>80.550967087499998</v>
      </c>
      <c r="K13" s="11">
        <f t="shared" si="5"/>
        <v>84.272571061874984</v>
      </c>
      <c r="L13" s="11">
        <f t="shared" si="5"/>
        <v>88.254660796968736</v>
      </c>
      <c r="M13" s="11">
        <f t="shared" si="5"/>
        <v>92.517701137017184</v>
      </c>
      <c r="N13" s="11">
        <f t="shared" si="5"/>
        <v>97.083924224088037</v>
      </c>
      <c r="O13" s="11">
        <f t="shared" si="5"/>
        <v>101.97749226853446</v>
      </c>
      <c r="P13" s="25">
        <f>SUM(D13:O13)</f>
        <v>928.86553432598339</v>
      </c>
    </row>
    <row r="14" spans="2:17" ht="19" x14ac:dyDescent="0.25">
      <c r="B14" s="39" t="s">
        <v>21</v>
      </c>
      <c r="C14" s="1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</row>
    <row r="15" spans="2:17" ht="19" x14ac:dyDescent="0.25">
      <c r="B15" s="40"/>
      <c r="C15" s="1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17" ht="19" x14ac:dyDescent="0.25">
      <c r="B16" s="41" t="s">
        <v>28</v>
      </c>
      <c r="C16" s="3"/>
      <c r="D16" s="12">
        <f>SUM(D10,D11,D12,D13,D14)</f>
        <v>449.4</v>
      </c>
      <c r="E16" s="12">
        <f>SUM(E10,E11,E12,E13,E14)</f>
        <v>997.24</v>
      </c>
      <c r="F16" s="12">
        <f>SUM(F10,F11,F12,F13,F14)</f>
        <v>1038.114</v>
      </c>
      <c r="G16" s="12">
        <f>SUM(G10,G11,G12,G13,G14)</f>
        <v>1081.7379000000001</v>
      </c>
      <c r="H16" s="12">
        <f>SUM(H10,H11,H12,H13,H14)</f>
        <v>1128.3198150000001</v>
      </c>
      <c r="I16" s="12">
        <f>SUM(I10,I11,I12,I13,I14)</f>
        <v>1178.08532775</v>
      </c>
      <c r="J16" s="12">
        <f>SUM(J10,J11,J12,J13,J14)</f>
        <v>1231.2790683374997</v>
      </c>
      <c r="K16" s="12">
        <f>SUM(K10,K11,K12,K13,K14)</f>
        <v>1288.1664433743747</v>
      </c>
      <c r="L16" s="12">
        <f>SUM(L10,L11,L12,L13,L14)</f>
        <v>1349.0355293250934</v>
      </c>
      <c r="M16" s="12">
        <f>SUM(M10,M11,M12,M13,M14)</f>
        <v>1414.1991459515482</v>
      </c>
      <c r="N16" s="12">
        <f>SUM(N10,N11,N12,N13,N14)</f>
        <v>1483.9971274253458</v>
      </c>
      <c r="O16" s="12">
        <f>SUM(O10,O11,O12,O13,O14)</f>
        <v>1558.7988103904552</v>
      </c>
      <c r="P16" s="24">
        <f>SUM(P10,P11,P12,P13,P14)</f>
        <v>14198.373167554319</v>
      </c>
    </row>
    <row r="17" spans="2:16" ht="19" x14ac:dyDescent="0.25">
      <c r="B17" s="39" t="s">
        <v>15</v>
      </c>
      <c r="C17" s="4"/>
      <c r="D17" s="13">
        <f>D16</f>
        <v>449.4</v>
      </c>
      <c r="E17" s="13">
        <f>E16+D17</f>
        <v>1446.6399999999999</v>
      </c>
      <c r="F17" s="13">
        <f t="shared" ref="F17:O17" si="6">F16+E17</f>
        <v>2484.7539999999999</v>
      </c>
      <c r="G17" s="13">
        <f t="shared" si="6"/>
        <v>3566.4919</v>
      </c>
      <c r="H17" s="13">
        <f t="shared" si="6"/>
        <v>4694.8117149999998</v>
      </c>
      <c r="I17" s="13">
        <f t="shared" si="6"/>
        <v>5872.8970427499999</v>
      </c>
      <c r="J17" s="13">
        <f t="shared" si="6"/>
        <v>7104.1761110874995</v>
      </c>
      <c r="K17" s="13">
        <f t="shared" si="6"/>
        <v>8392.3425544618749</v>
      </c>
      <c r="L17" s="13">
        <f t="shared" si="6"/>
        <v>9741.378083786969</v>
      </c>
      <c r="M17" s="13">
        <f t="shared" si="6"/>
        <v>11155.577229738517</v>
      </c>
      <c r="N17" s="13">
        <f t="shared" si="6"/>
        <v>12639.574357163863</v>
      </c>
      <c r="O17" s="13">
        <f t="shared" si="6"/>
        <v>14198.373167554319</v>
      </c>
      <c r="P17" s="23"/>
    </row>
    <row r="18" spans="2:16" ht="19" x14ac:dyDescent="0.25">
      <c r="B18" s="40"/>
      <c r="C18" s="1"/>
      <c r="D18" s="14"/>
      <c r="E18" s="14"/>
      <c r="F18" s="14"/>
      <c r="G18" s="14"/>
      <c r="H18" s="8"/>
      <c r="I18" s="8"/>
      <c r="J18" s="8"/>
      <c r="K18" s="8"/>
      <c r="L18" s="8"/>
      <c r="M18" s="8"/>
      <c r="N18" s="8"/>
      <c r="O18" s="8"/>
      <c r="P18" s="8"/>
    </row>
    <row r="19" spans="2:16" ht="19" x14ac:dyDescent="0.25">
      <c r="B19" s="39" t="s">
        <v>22</v>
      </c>
      <c r="C19" s="1"/>
      <c r="D19" s="15">
        <f>D6</f>
        <v>6000</v>
      </c>
      <c r="E19" s="15">
        <f t="shared" ref="E19:O19" si="7">E6</f>
        <v>7800</v>
      </c>
      <c r="F19" s="15">
        <f t="shared" si="7"/>
        <v>8300</v>
      </c>
      <c r="G19" s="15">
        <f t="shared" si="7"/>
        <v>8800</v>
      </c>
      <c r="H19" s="15">
        <f t="shared" si="7"/>
        <v>9300</v>
      </c>
      <c r="I19" s="15">
        <f t="shared" si="7"/>
        <v>9800</v>
      </c>
      <c r="J19" s="15">
        <f t="shared" si="7"/>
        <v>10300</v>
      </c>
      <c r="K19" s="15">
        <f t="shared" si="7"/>
        <v>10800</v>
      </c>
      <c r="L19" s="15">
        <f t="shared" si="7"/>
        <v>11300</v>
      </c>
      <c r="M19" s="15">
        <f t="shared" si="7"/>
        <v>11800</v>
      </c>
      <c r="N19" s="15">
        <f t="shared" si="7"/>
        <v>12300</v>
      </c>
      <c r="O19" s="15">
        <f t="shared" si="7"/>
        <v>12800</v>
      </c>
      <c r="P19" s="22">
        <f>SUM(D19:O19)</f>
        <v>119300</v>
      </c>
    </row>
    <row r="20" spans="2:16" ht="19" x14ac:dyDescent="0.25">
      <c r="B20" s="39"/>
      <c r="C20" s="1"/>
      <c r="D20" s="16"/>
      <c r="E20" s="16"/>
      <c r="F20" s="16"/>
      <c r="G20" s="16"/>
      <c r="H20" s="11"/>
      <c r="I20" s="11"/>
      <c r="J20" s="11"/>
      <c r="K20" s="11"/>
      <c r="L20" s="11"/>
      <c r="M20" s="11"/>
      <c r="N20" s="11"/>
      <c r="O20" s="17"/>
      <c r="P20" s="11"/>
    </row>
    <row r="21" spans="2:16" ht="19" x14ac:dyDescent="0.25">
      <c r="B21" s="39" t="s">
        <v>23</v>
      </c>
      <c r="C21" s="1"/>
      <c r="D21" s="16">
        <f>D16</f>
        <v>449.4</v>
      </c>
      <c r="E21" s="16">
        <f t="shared" ref="E21:P21" si="8">E16</f>
        <v>997.24</v>
      </c>
      <c r="F21" s="16">
        <f t="shared" si="8"/>
        <v>1038.114</v>
      </c>
      <c r="G21" s="16">
        <f t="shared" si="8"/>
        <v>1081.7379000000001</v>
      </c>
      <c r="H21" s="16">
        <f t="shared" si="8"/>
        <v>1128.3198150000001</v>
      </c>
      <c r="I21" s="16">
        <f t="shared" si="8"/>
        <v>1178.08532775</v>
      </c>
      <c r="J21" s="16">
        <f t="shared" si="8"/>
        <v>1231.2790683374997</v>
      </c>
      <c r="K21" s="16">
        <f t="shared" si="8"/>
        <v>1288.1664433743747</v>
      </c>
      <c r="L21" s="16">
        <f t="shared" si="8"/>
        <v>1349.0355293250934</v>
      </c>
      <c r="M21" s="16">
        <f t="shared" si="8"/>
        <v>1414.1991459515482</v>
      </c>
      <c r="N21" s="16">
        <f t="shared" si="8"/>
        <v>1483.9971274253458</v>
      </c>
      <c r="O21" s="16">
        <f t="shared" si="8"/>
        <v>1558.7988103904552</v>
      </c>
      <c r="P21" s="21">
        <f t="shared" si="8"/>
        <v>14198.373167554319</v>
      </c>
    </row>
    <row r="22" spans="2:16" ht="19" x14ac:dyDescent="0.25">
      <c r="B22" s="39"/>
      <c r="C22" s="1"/>
      <c r="D22" s="16"/>
      <c r="E22" s="16"/>
      <c r="F22" s="16"/>
      <c r="G22" s="16"/>
      <c r="H22" s="11"/>
      <c r="I22" s="11"/>
      <c r="J22" s="11"/>
      <c r="K22" s="11"/>
      <c r="L22" s="11"/>
      <c r="M22" s="11"/>
      <c r="N22" s="11"/>
      <c r="O22" s="17"/>
      <c r="P22" s="11"/>
    </row>
    <row r="23" spans="2:16" ht="19" x14ac:dyDescent="0.25">
      <c r="B23" s="39" t="s">
        <v>24</v>
      </c>
      <c r="C23" s="1"/>
      <c r="D23" s="16">
        <f>D19-D21</f>
        <v>5550.6</v>
      </c>
      <c r="E23" s="16">
        <f t="shared" ref="E23:O23" si="9">E19-E21</f>
        <v>6802.76</v>
      </c>
      <c r="F23" s="16">
        <f t="shared" si="9"/>
        <v>7261.8860000000004</v>
      </c>
      <c r="G23" s="16">
        <f t="shared" si="9"/>
        <v>7718.2620999999999</v>
      </c>
      <c r="H23" s="16">
        <f t="shared" si="9"/>
        <v>8171.6801850000002</v>
      </c>
      <c r="I23" s="16">
        <f t="shared" si="9"/>
        <v>8621.9146722500009</v>
      </c>
      <c r="J23" s="16">
        <f t="shared" si="9"/>
        <v>9068.7209316625012</v>
      </c>
      <c r="K23" s="16">
        <f t="shared" si="9"/>
        <v>9511.8335566256246</v>
      </c>
      <c r="L23" s="16">
        <f t="shared" si="9"/>
        <v>9950.9644706749059</v>
      </c>
      <c r="M23" s="16">
        <f t="shared" si="9"/>
        <v>10385.800854048452</v>
      </c>
      <c r="N23" s="16">
        <f t="shared" si="9"/>
        <v>10816.002872574654</v>
      </c>
      <c r="O23" s="16">
        <f t="shared" si="9"/>
        <v>11241.201189609545</v>
      </c>
      <c r="P23" s="21">
        <f>P19-P21</f>
        <v>105101.62683244568</v>
      </c>
    </row>
    <row r="24" spans="2:16" ht="19" x14ac:dyDescent="0.25">
      <c r="B24" s="39"/>
      <c r="C24" s="1"/>
      <c r="D24" s="16"/>
      <c r="E24" s="16"/>
      <c r="F24" s="16"/>
      <c r="G24" s="16"/>
      <c r="H24" s="11"/>
      <c r="I24" s="11"/>
      <c r="J24" s="11"/>
      <c r="K24" s="11"/>
      <c r="L24" s="11"/>
      <c r="M24" s="11"/>
      <c r="N24" s="11"/>
      <c r="O24" s="17"/>
      <c r="P24" s="18"/>
    </row>
    <row r="25" spans="2:16" ht="19" x14ac:dyDescent="0.25">
      <c r="B25" s="42" t="s">
        <v>25</v>
      </c>
      <c r="C25" s="2"/>
      <c r="D25" s="20">
        <f>D23</f>
        <v>5550.6</v>
      </c>
      <c r="E25" s="20">
        <f>E23+D25</f>
        <v>12353.36</v>
      </c>
      <c r="F25" s="20">
        <f>F23+E25</f>
        <v>19615.245999999999</v>
      </c>
      <c r="G25" s="20">
        <f>G23+F25</f>
        <v>27333.508099999999</v>
      </c>
      <c r="H25" s="20">
        <f>H23+G25</f>
        <v>35505.188284999997</v>
      </c>
      <c r="I25" s="20">
        <f>I23+H25</f>
        <v>44127.102957249997</v>
      </c>
      <c r="J25" s="20">
        <f>J23+I25</f>
        <v>53195.823888912499</v>
      </c>
      <c r="K25" s="20">
        <f>K23+J25</f>
        <v>62707.65744553812</v>
      </c>
      <c r="L25" s="20">
        <f t="shared" ref="L25:O25" si="10">L23+K25</f>
        <v>72658.621916213029</v>
      </c>
      <c r="M25" s="20">
        <f t="shared" si="10"/>
        <v>83044.422770261473</v>
      </c>
      <c r="N25" s="20">
        <f t="shared" si="10"/>
        <v>93860.425642836126</v>
      </c>
      <c r="O25" s="20">
        <f t="shared" si="10"/>
        <v>105101.62683244568</v>
      </c>
      <c r="P25" s="20"/>
    </row>
    <row r="26" spans="2:16" ht="19" x14ac:dyDescent="0.25">
      <c r="B26" s="28"/>
    </row>
  </sheetData>
  <mergeCells count="3">
    <mergeCell ref="B1:Q1"/>
    <mergeCell ref="B2:Q2"/>
    <mergeCell ref="D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Gonzalo</dc:creator>
  <cp:lastModifiedBy>LUCAS, Gonzalo</cp:lastModifiedBy>
  <dcterms:created xsi:type="dcterms:W3CDTF">2026-01-26T22:06:40Z</dcterms:created>
  <dcterms:modified xsi:type="dcterms:W3CDTF">2026-01-27T00:05:39Z</dcterms:modified>
</cp:coreProperties>
</file>